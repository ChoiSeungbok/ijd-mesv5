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calcChain+xml" PartName="/xl/calcChain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Id="rId3" Target="docProps/app.xml" Type="http://schemas.openxmlformats.org/officeDocument/2006/relationships/extended-properties"/><Relationship Id="rId2" Target="docProps/core.xml" Type="http://schemas.openxmlformats.org/package/2006/relationships/metadata/core-properties"/><Relationship Id="rId1" Target="xl/workbook.xml" Type="http://schemas.openxmlformats.org/officeDocument/2006/relationships/officeDocument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IJMAIL\Downloads\MES 엑셀레포트 파일 DRM해제 요청 건\"/>
    </mc:Choice>
  </mc:AlternateContent>
  <xr:revisionPtr revIDLastSave="0" documentId="13_ncr:1_{164B35CB-4224-46D2-8ACE-1196AC1491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Sheet1!$B$1:$AB$31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28" i="2" l="1"/>
</calcChain>
</file>

<file path=xl/sharedStrings.xml><?xml version="1.0" encoding="utf-8"?>
<sst xmlns="http://schemas.openxmlformats.org/spreadsheetml/2006/main" count="68" uniqueCount="58">
  <si>
    <t>Grade</t>
    <phoneticPr fontId="1" type="noConversion"/>
  </si>
  <si>
    <t>Size</t>
    <phoneticPr fontId="1" type="noConversion"/>
  </si>
  <si>
    <t>Lot No.</t>
    <phoneticPr fontId="1" type="noConversion"/>
  </si>
  <si>
    <t>TI</t>
    <phoneticPr fontId="1" type="noConversion"/>
  </si>
  <si>
    <t>TTI</t>
    <phoneticPr fontId="1" type="noConversion"/>
  </si>
  <si>
    <t>IMD-630</t>
    <phoneticPr fontId="1" type="noConversion"/>
  </si>
  <si>
    <t>Aspect Ratio</t>
    <phoneticPr fontId="1" type="noConversion"/>
  </si>
  <si>
    <t>Ni</t>
  </si>
  <si>
    <t>Fe</t>
  </si>
  <si>
    <t>Cu</t>
  </si>
  <si>
    <t>Cr</t>
  </si>
  <si>
    <t>Ti</t>
  </si>
  <si>
    <t>Mn</t>
  </si>
  <si>
    <t>Co</t>
  </si>
  <si>
    <t>Ca</t>
  </si>
  <si>
    <t>Mg</t>
  </si>
  <si>
    <t>Zn</t>
  </si>
  <si>
    <t>Mo</t>
  </si>
  <si>
    <t>Pb</t>
  </si>
  <si>
    <t>Al</t>
  </si>
  <si>
    <t>Si</t>
  </si>
  <si>
    <t>B</t>
  </si>
  <si>
    <t>Na</t>
  </si>
  <si>
    <t>Total</t>
    <phoneticPr fontId="1" type="noConversion"/>
  </si>
  <si>
    <t>Remarks</t>
    <phoneticPr fontId="1" type="noConversion"/>
  </si>
  <si>
    <t>ACCEPTED</t>
    <phoneticPr fontId="1" type="noConversion"/>
  </si>
  <si>
    <t>Approved</t>
    <phoneticPr fontId="1" type="noConversion"/>
  </si>
  <si>
    <t>Quality Cerificate</t>
    <phoneticPr fontId="1" type="noConversion"/>
  </si>
  <si>
    <t xml:space="preserve">614-2,Oryu-Ri,Daeso-Myun,Eumsung-Kun,Chungcheongbuk-Do,Korea
</t>
    <phoneticPr fontId="1" type="noConversion"/>
  </si>
  <si>
    <t xml:space="preserve">ILJIN DIAMOND CO.,LTD.
</t>
    <phoneticPr fontId="1" type="noConversion"/>
  </si>
  <si>
    <t>MIN 30.0</t>
    <phoneticPr fontId="1" type="noConversion"/>
  </si>
  <si>
    <t>Data</t>
    <phoneticPr fontId="1" type="noConversion"/>
  </si>
  <si>
    <t>SPEC</t>
    <phoneticPr fontId="1" type="noConversion"/>
  </si>
  <si>
    <t>ICP</t>
    <phoneticPr fontId="1" type="noConversion"/>
  </si>
  <si>
    <t xml:space="preserve"> (Unit : ppm)</t>
    <phoneticPr fontId="1" type="noConversion"/>
  </si>
  <si>
    <t>++</t>
    <phoneticPr fontId="1" type="noConversion"/>
  </si>
  <si>
    <t>+</t>
    <phoneticPr fontId="1" type="noConversion"/>
  </si>
  <si>
    <t>OS</t>
    <phoneticPr fontId="1" type="noConversion"/>
  </si>
  <si>
    <t>-</t>
    <phoneticPr fontId="1" type="noConversion"/>
  </si>
  <si>
    <t xml:space="preserve">TEL:    +82 2 43 879 4800
</t>
    <phoneticPr fontId="1" type="noConversion"/>
  </si>
  <si>
    <t xml:space="preserve">FAX:    +82 2 43 879 4888
</t>
    <phoneticPr fontId="1" type="noConversion"/>
  </si>
  <si>
    <t>Inspection Result</t>
    <phoneticPr fontId="1" type="noConversion"/>
  </si>
  <si>
    <t>Customer</t>
    <phoneticPr fontId="1" type="noConversion"/>
  </si>
  <si>
    <t>- TI/TTI : Toughness Index / Thermal Toughness Index(at 1100℃)
- PSD : According to ANSI 74.16 By Electroformed Sieve
- Shape Parameters(% number) were measured by DiaShape.
- Quality control system is based in ISO 9001.
- The quality of diamonds is valid for 10 years when stored in ILJIN Diamond's container without 
  damage to the sealing tape.</t>
    <phoneticPr fontId="1" type="noConversion"/>
  </si>
  <si>
    <t>100/120</t>
    <phoneticPr fontId="1" type="noConversion"/>
  </si>
  <si>
    <t>KGARC19-005</t>
    <phoneticPr fontId="1" type="noConversion"/>
  </si>
  <si>
    <t>37.0±5.0</t>
    <phoneticPr fontId="1" type="noConversion"/>
  </si>
  <si>
    <t>0.88±0.03</t>
    <phoneticPr fontId="1" type="noConversion"/>
  </si>
  <si>
    <t>검출한계이하</t>
  </si>
  <si>
    <t>검출한계이하</t>
    <phoneticPr fontId="2" type="noConversion"/>
  </si>
  <si>
    <t>신한다이아몬드공업(주)</t>
    <phoneticPr fontId="1" type="noConversion"/>
  </si>
  <si>
    <t>SS</t>
    <phoneticPr fontId="1" type="noConversion"/>
  </si>
  <si>
    <t>-</t>
    <phoneticPr fontId="1" type="noConversion"/>
  </si>
  <si>
    <t>No : G230530-039</t>
    <phoneticPr fontId="1" type="noConversion"/>
  </si>
  <si>
    <t>DATE : 2023-06-22</t>
    <phoneticPr fontId="1" type="noConversion"/>
  </si>
  <si>
    <r>
      <t>Sieve Size(</t>
    </r>
    <r>
      <rPr>
        <b/>
        <sz val="9"/>
        <color theme="1"/>
        <rFont val="맑은 고딕"/>
        <family val="3"/>
        <charset val="129"/>
      </rPr>
      <t>㎛</t>
    </r>
    <r>
      <rPr>
        <b/>
        <sz val="7.65"/>
        <color theme="1"/>
        <rFont val="맑은 고딕"/>
        <family val="3"/>
        <charset val="129"/>
      </rPr>
      <t>)</t>
    </r>
    <phoneticPr fontId="1" type="noConversion"/>
  </si>
  <si>
    <t>PSD(%)</t>
    <phoneticPr fontId="1" type="noConversion"/>
  </si>
  <si>
    <t>PAN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</si>
</sst>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u/>
      <sz val="24"/>
      <color theme="1"/>
      <name val="맑은 고딕"/>
      <family val="3"/>
      <charset val="129"/>
      <scheme val="minor"/>
    </font>
    <font>
      <sz val="9.6"/>
      <color rgb="FF4A4A4A"/>
      <name val="Arial"/>
      <family val="2"/>
    </font>
    <font>
      <sz val="13"/>
      <color theme="1"/>
      <name val="맑은 고딕"/>
      <family val="3"/>
      <charset val="129"/>
      <scheme val="minor"/>
    </font>
    <font>
      <sz val="11"/>
      <color theme="1"/>
      <name val="Times New Roman"/>
      <family val="1"/>
    </font>
    <font>
      <b/>
      <u/>
      <sz val="24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b/>
      <sz val="10"/>
      <color theme="1"/>
      <name val="Times New Roman"/>
      <family val="1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바탕"/>
      <family val="1"/>
      <charset val="129"/>
    </font>
    <font>
      <b/>
      <sz val="9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  <font>
      <b/>
      <sz val="7.65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/>
      <top/>
      <bottom style="dotted">
        <color indexed="64"/>
      </bottom>
      <diagonal style="thin">
        <color indexed="64"/>
      </diagonal>
    </border>
    <border diagonalDown="1">
      <left/>
      <right style="medium">
        <color indexed="64"/>
      </right>
      <top/>
      <bottom style="dotted">
        <color indexed="64"/>
      </bottom>
      <diagonal style="thin">
        <color indexed="64"/>
      </diagonal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3" fillId="0" borderId="0" xfId="0" applyFont="1" applyBorder="1">
      <alignment vertical="center"/>
    </xf>
    <xf numFmtId="0" fontId="6" fillId="0" borderId="7" xfId="0" applyFont="1" applyBorder="1">
      <alignment vertical="center"/>
    </xf>
    <xf numFmtId="0" fontId="7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9" fillId="0" borderId="7" xfId="0" applyFont="1" applyBorder="1" applyAlignment="1">
      <alignment vertical="center"/>
    </xf>
    <xf numFmtId="0" fontId="11" fillId="0" borderId="4" xfId="0" applyFont="1" applyBorder="1">
      <alignment vertical="center"/>
    </xf>
    <xf numFmtId="0" fontId="11" fillId="0" borderId="0" xfId="0" applyFont="1" applyBorder="1">
      <alignment vertical="center"/>
    </xf>
    <xf numFmtId="0" fontId="14" fillId="0" borderId="0" xfId="0" applyFont="1" applyFill="1" applyBorder="1" applyAlignment="1">
      <alignment horizontal="center" vertical="center"/>
    </xf>
    <xf numFmtId="0" fontId="15" fillId="0" borderId="0" xfId="0" applyFont="1" applyBorder="1">
      <alignment vertical="center"/>
    </xf>
    <xf numFmtId="0" fontId="11" fillId="0" borderId="0" xfId="0" applyFont="1">
      <alignment vertical="center"/>
    </xf>
    <xf numFmtId="0" fontId="12" fillId="0" borderId="0" xfId="0" applyFont="1" applyFill="1" applyBorder="1" applyAlignment="1">
      <alignment vertical="center"/>
    </xf>
    <xf numFmtId="0" fontId="11" fillId="0" borderId="5" xfId="0" applyFont="1" applyBorder="1">
      <alignment vertical="center"/>
    </xf>
    <xf numFmtId="0" fontId="12" fillId="0" borderId="0" xfId="0" applyFont="1" applyBorder="1">
      <alignment vertical="center"/>
    </xf>
    <xf numFmtId="0" fontId="12" fillId="0" borderId="5" xfId="0" applyFont="1" applyBorder="1">
      <alignment vertical="center"/>
    </xf>
    <xf numFmtId="0" fontId="12" fillId="0" borderId="0" xfId="0" applyFont="1">
      <alignment vertical="center"/>
    </xf>
    <xf numFmtId="0" fontId="14" fillId="0" borderId="17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4" fillId="0" borderId="15" xfId="0" applyFont="1" applyFill="1" applyBorder="1" applyAlignment="1">
      <alignment horizontal="center" vertical="center"/>
    </xf>
    <xf numFmtId="176" fontId="12" fillId="0" borderId="6" xfId="0" applyNumberFormat="1" applyFont="1" applyFill="1" applyBorder="1" applyAlignment="1">
      <alignment horizontal="center" vertical="center" wrapText="1"/>
    </xf>
    <xf numFmtId="176" fontId="12" fillId="0" borderId="16" xfId="0" applyNumberFormat="1" applyFont="1" applyFill="1" applyBorder="1" applyAlignment="1">
      <alignment horizontal="center" vertical="center" wrapText="1"/>
    </xf>
    <xf numFmtId="176" fontId="12" fillId="0" borderId="7" xfId="0" applyNumberFormat="1" applyFont="1" applyFill="1" applyBorder="1" applyAlignment="1">
      <alignment horizontal="center" vertical="center" wrapText="1"/>
    </xf>
    <xf numFmtId="0" fontId="12" fillId="0" borderId="0" xfId="0" quotePrefix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 vertical="center"/>
    </xf>
    <xf numFmtId="0" fontId="19" fillId="0" borderId="0" xfId="0" applyFont="1">
      <alignment vertical="center"/>
    </xf>
    <xf numFmtId="0" fontId="13" fillId="0" borderId="0" xfId="0" applyFont="1" applyBorder="1">
      <alignment vertical="center"/>
    </xf>
    <xf numFmtId="0" fontId="0" fillId="0" borderId="10" xfId="0" applyBorder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0" fillId="0" borderId="7" xfId="0" applyFont="1" applyBorder="1" applyAlignment="1">
      <alignment horizontal="left" vertical="center" indent="2"/>
    </xf>
    <xf numFmtId="0" fontId="10" fillId="0" borderId="0" xfId="0" applyFont="1" applyBorder="1" applyAlignment="1">
      <alignment horizontal="left" vertical="center" indent="2"/>
    </xf>
    <xf numFmtId="0" fontId="11" fillId="0" borderId="2" xfId="0" applyFont="1" applyBorder="1" applyAlignment="1">
      <alignment horizontal="left" indent="2"/>
    </xf>
    <xf numFmtId="0" fontId="12" fillId="0" borderId="0" xfId="0" applyFont="1" applyBorder="1" applyAlignment="1">
      <alignment horizontal="left" vertical="center" indent="2"/>
    </xf>
    <xf numFmtId="0" fontId="0" fillId="0" borderId="3" xfId="0" applyBorder="1">
      <alignment vertical="center"/>
    </xf>
    <xf numFmtId="0" fontId="4" fillId="0" borderId="0" xfId="0" applyFont="1" applyBorder="1">
      <alignment vertical="center"/>
    </xf>
    <xf numFmtId="0" fontId="6" fillId="0" borderId="0" xfId="0" applyFont="1" applyBorder="1">
      <alignment vertical="center"/>
    </xf>
    <xf numFmtId="0" fontId="8" fillId="0" borderId="0" xfId="0" applyFont="1" applyBorder="1" applyAlignment="1">
      <alignment vertical="center"/>
    </xf>
    <xf numFmtId="0" fontId="5" fillId="0" borderId="0" xfId="0" applyFont="1" applyBorder="1">
      <alignment vertical="center"/>
    </xf>
    <xf numFmtId="0" fontId="19" fillId="0" borderId="0" xfId="0" applyFont="1" applyBorder="1">
      <alignment vertical="center"/>
    </xf>
    <xf numFmtId="0" fontId="20" fillId="0" borderId="5" xfId="0" applyFont="1" applyBorder="1" applyAlignment="1">
      <alignment vertical="center"/>
    </xf>
    <xf numFmtId="0" fontId="10" fillId="0" borderId="0" xfId="0" applyFont="1" applyBorder="1" applyAlignment="1">
      <alignment horizontal="left" vertical="center" indent="4"/>
    </xf>
    <xf numFmtId="0" fontId="10" fillId="0" borderId="7" xfId="0" applyFont="1" applyBorder="1" applyAlignment="1">
      <alignment horizontal="left" vertical="center" indent="4"/>
    </xf>
    <xf numFmtId="0" fontId="0" fillId="0" borderId="0" xfId="0" applyBorder="1" applyAlignment="1">
      <alignment horizontal="left" vertical="center" indent="3"/>
    </xf>
    <xf numFmtId="0" fontId="11" fillId="0" borderId="2" xfId="0" applyFont="1" applyBorder="1" applyAlignment="1">
      <alignment horizontal="left" indent="4"/>
    </xf>
    <xf numFmtId="0" fontId="12" fillId="0" borderId="0" xfId="0" applyFont="1" applyBorder="1" applyAlignment="1">
      <alignment horizontal="left" vertical="center" indent="4"/>
    </xf>
    <xf numFmtId="0" fontId="14" fillId="0" borderId="13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4" fillId="0" borderId="10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176" fontId="12" fillId="0" borderId="9" xfId="0" applyNumberFormat="1" applyFont="1" applyFill="1" applyBorder="1" applyAlignment="1">
      <alignment horizontal="center" vertical="center"/>
    </xf>
    <xf numFmtId="176" fontId="12" fillId="0" borderId="11" xfId="0" applyNumberFormat="1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8" xfId="0" applyFont="1" applyFill="1" applyBorder="1" applyAlignment="1">
      <alignment horizontal="center" vertical="center"/>
    </xf>
    <xf numFmtId="0" fontId="14" fillId="0" borderId="19" xfId="0" quotePrefix="1" applyFont="1" applyFill="1" applyBorder="1" applyAlignment="1">
      <alignment horizontal="center" vertical="center" wrapText="1"/>
    </xf>
    <xf numFmtId="0" fontId="14" fillId="0" borderId="19" xfId="0" applyFont="1" applyFill="1" applyBorder="1" applyAlignment="1">
      <alignment horizontal="center" vertical="center" wrapText="1"/>
    </xf>
    <xf numFmtId="0" fontId="14" fillId="0" borderId="18" xfId="0" quotePrefix="1" applyFont="1" applyFill="1" applyBorder="1" applyAlignment="1">
      <alignment horizontal="center" vertical="center" wrapText="1"/>
    </xf>
    <xf numFmtId="0" fontId="14" fillId="0" borderId="20" xfId="0" quotePrefix="1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20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2" xfId="0" quotePrefix="1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6" fontId="12" fillId="0" borderId="0" xfId="0" quotePrefix="1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 vertical="center"/>
    </xf>
    <xf numFmtId="0" fontId="18" fillId="0" borderId="9" xfId="0" quotePrefix="1" applyFont="1" applyBorder="1" applyAlignment="1">
      <alignment horizontal="left" vertical="top" wrapText="1"/>
    </xf>
    <xf numFmtId="0" fontId="18" fillId="0" borderId="10" xfId="0" quotePrefix="1" applyFont="1" applyBorder="1" applyAlignment="1">
      <alignment horizontal="left" vertical="top" wrapText="1"/>
    </xf>
    <xf numFmtId="0" fontId="16" fillId="0" borderId="9" xfId="0" applyFont="1" applyFill="1" applyBorder="1" applyAlignment="1">
      <alignment horizontal="center" vertical="center"/>
    </xf>
    <xf numFmtId="176" fontId="12" fillId="0" borderId="6" xfId="0" quotePrefix="1" applyNumberFormat="1" applyFont="1" applyFill="1" applyBorder="1" applyAlignment="1">
      <alignment horizontal="center" vertical="center"/>
    </xf>
    <xf numFmtId="0" fontId="12" fillId="0" borderId="8" xfId="0" quotePrefix="1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1" xfId="0" quotePrefix="1" applyFont="1" applyFill="1" applyBorder="1" applyAlignment="1">
      <alignment horizontal="center" vertical="center" wrapText="1"/>
    </xf>
    <xf numFmtId="0" fontId="14" fillId="0" borderId="3" xfId="0" quotePrefix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28577</xdr:colOff>
      <xdr:row>0</xdr:row>
      <xdr:rowOff>122706</xdr:rowOff>
    </xdr:from>
    <xdr:to>
      <xdr:col>7</xdr:col>
      <xdr:colOff>56030</xdr:colOff>
      <xdr:row>3</xdr:row>
      <xdr:rowOff>3748</xdr:rowOff>
    </xdr:to>
    <xdr:pic>
      <xdr:nvPicPr>
        <xdr:cNvPr id="3" name="그림 2" descr="워드마크와 로고타입 조합이미지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988" t="61892" r="14935" b="-2158"/>
        <a:stretch/>
      </xdr:blipFill>
      <xdr:spPr bwMode="auto">
        <a:xfrm>
          <a:off x="712136" y="122706"/>
          <a:ext cx="2784100" cy="5421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4482</xdr:colOff>
      <xdr:row>11</xdr:row>
      <xdr:rowOff>7284</xdr:rowOff>
    </xdr:from>
    <xdr:to>
      <xdr:col>5</xdr:col>
      <xdr:colOff>470647</xdr:colOff>
      <xdr:row>11</xdr:row>
      <xdr:rowOff>7284</xdr:rowOff>
    </xdr:to>
    <xdr:cxnSp macro="">
      <xdr:nvCxnSpPr>
        <xdr:cNvPr id="4" name="Straight Connector 8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979394" y="1979519"/>
          <a:ext cx="1945341" cy="0"/>
        </a:xfrm>
        <a:prstGeom prst="line">
          <a:avLst/>
        </a:prstGeom>
        <a:ln w="9525" algn="in">
          <a:solidFill>
            <a:srgbClr val="000000"/>
          </a:solidFill>
        </a:ln>
      </xdr:spPr>
    </xdr:cxnSp>
    <xdr:clientData/>
  </xdr:twoCellAnchor>
  <xdr:twoCellAnchor editAs="oneCell">
    <xdr:from>
      <xdr:col>21</xdr:col>
      <xdr:colOff>395949</xdr:colOff>
      <xdr:row>0</xdr:row>
      <xdr:rowOff>134471</xdr:rowOff>
    </xdr:from>
    <xdr:to>
      <xdr:col>27</xdr:col>
      <xdr:colOff>293438</xdr:colOff>
      <xdr:row>4</xdr:row>
      <xdr:rowOff>33618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xfrm>
          <a:off x="10787724" y="134471"/>
          <a:ext cx="1650089" cy="603997"/>
        </a:xfrm>
        <a:prstGeom prst="rect">
          <a:avLst/>
        </a:prstGeom>
      </xdr:spPr>
    </xdr:pic>
    <xdr:clientData/>
  </xdr:twoCellAnchor>
  <xdr:twoCellAnchor editAs="oneCell">
    <xdr:from>
      <xdr:col>20</xdr:col>
      <xdr:colOff>358588</xdr:colOff>
      <xdr:row>30</xdr:row>
      <xdr:rowOff>56029</xdr:rowOff>
    </xdr:from>
    <xdr:to>
      <xdr:col>25</xdr:col>
      <xdr:colOff>172695</xdr:colOff>
      <xdr:row>30</xdr:row>
      <xdr:rowOff>592948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208559" y="7317441"/>
          <a:ext cx="1057960" cy="536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1"/>
  <sheetViews>
    <sheetView showGridLines="0" tabSelected="1" view="pageBreakPreview" zoomScale="85" zoomScaleNormal="40" zoomScaleSheetLayoutView="85" workbookViewId="0"/>
  </sheetViews>
  <sheetFormatPr defaultRowHeight="16.5" x14ac:dyDescent="0.3"/>
  <cols>
    <col min="2" max="2" width="3.875" customWidth="1"/>
    <col min="3" max="22" width="6.5" customWidth="1"/>
    <col min="23" max="23" width="2" hidden="1" customWidth="1"/>
    <col min="24" max="24" width="0.875" hidden="1" customWidth="1"/>
    <col min="25" max="25" width="3.375" customWidth="1"/>
    <col min="26" max="26" width="3.5" customWidth="1"/>
    <col min="27" max="27" width="9.625" customWidth="1"/>
    <col min="28" max="28" width="5.375" customWidth="1"/>
  </cols>
  <sheetData>
    <row r="1" spans="1:28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46"/>
      <c r="L1" s="46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46"/>
      <c r="N2" s="46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8" ht="18.7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8" ht="3.75" customHeight="1" x14ac:dyDescent="0.3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8" ht="20.25" x14ac:dyDescent="0.3">
      <c r="A5" s="5"/>
      <c r="B5" s="48" t="s">
        <v>29</v>
      </c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8" ht="14.25" customHeight="1" x14ac:dyDescent="0.3">
      <c r="A6" s="5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5"/>
      <c r="P6" s="5"/>
      <c r="Q6" s="5"/>
      <c r="R6" s="5"/>
      <c r="S6" s="5"/>
      <c r="T6" s="5"/>
      <c r="U6" s="5"/>
      <c r="V6" s="52" t="s">
        <v>39</v>
      </c>
      <c r="W6" s="5"/>
      <c r="X6" s="5"/>
      <c r="Y6" s="42"/>
      <c r="Z6" s="5"/>
      <c r="AA6" s="5"/>
      <c r="AB6" s="5"/>
    </row>
    <row r="7" spans="1:28" ht="0.75" customHeight="1" x14ac:dyDescent="0.3">
      <c r="A7" s="5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5"/>
      <c r="P7" s="5"/>
      <c r="Q7" s="5"/>
      <c r="R7" s="5"/>
      <c r="S7" s="5"/>
      <c r="T7" s="5"/>
      <c r="U7" s="5"/>
      <c r="V7" s="54"/>
      <c r="W7" s="5"/>
      <c r="X7" s="5"/>
      <c r="Y7" s="5"/>
      <c r="Z7" s="5"/>
      <c r="AA7" s="5"/>
    </row>
    <row r="8" spans="1:28" ht="18.75" customHeight="1" thickBot="1" x14ac:dyDescent="0.35">
      <c r="A8" s="5"/>
      <c r="B8" s="12" t="s">
        <v>28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7"/>
      <c r="P8" s="7"/>
      <c r="Q8" s="7"/>
      <c r="R8" s="7"/>
      <c r="S8" s="7"/>
      <c r="T8" s="7"/>
      <c r="U8" s="7"/>
      <c r="V8" s="53" t="s">
        <v>40</v>
      </c>
      <c r="W8" s="7"/>
      <c r="X8" s="7"/>
      <c r="Y8" s="41"/>
      <c r="Z8" s="7"/>
      <c r="AA8" s="5"/>
    </row>
    <row r="9" spans="1:28" ht="9" customHeight="1" thickBot="1" x14ac:dyDescent="0.35">
      <c r="A9" s="5"/>
      <c r="B9" s="7"/>
      <c r="C9" s="2"/>
      <c r="D9" s="2"/>
      <c r="E9" s="2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2"/>
      <c r="T9" s="5"/>
      <c r="U9" s="5"/>
      <c r="V9" s="5"/>
      <c r="W9" s="2"/>
      <c r="X9" s="2"/>
      <c r="Y9" s="2"/>
      <c r="Z9" s="2"/>
      <c r="AA9" s="2"/>
      <c r="AB9" s="33"/>
    </row>
    <row r="10" spans="1:28" ht="11.25" customHeight="1" x14ac:dyDescent="0.2">
      <c r="A10" s="5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55" t="s">
        <v>53</v>
      </c>
      <c r="W10" s="2"/>
      <c r="X10" s="2"/>
      <c r="Y10" s="43"/>
      <c r="Z10" s="43"/>
      <c r="AA10" s="2"/>
      <c r="AB10" s="45"/>
    </row>
    <row r="11" spans="1:28" ht="21.75" customHeight="1" x14ac:dyDescent="0.3">
      <c r="A11" s="5"/>
      <c r="B11" s="3"/>
      <c r="C11" s="32" t="s">
        <v>27</v>
      </c>
      <c r="D11" s="10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6" t="s">
        <v>54</v>
      </c>
      <c r="W11" s="5"/>
      <c r="X11" s="5"/>
      <c r="Y11" s="44"/>
      <c r="Z11" s="5"/>
      <c r="AA11" s="5"/>
      <c r="AB11" s="4"/>
    </row>
    <row r="12" spans="1:28" ht="18" customHeight="1" x14ac:dyDescent="0.3">
      <c r="A12" s="5"/>
      <c r="B12" s="3"/>
      <c r="C12" s="32"/>
      <c r="D12" s="10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4"/>
    </row>
    <row r="13" spans="1:28" ht="9.75" customHeight="1" x14ac:dyDescent="0.3">
      <c r="A13" s="5"/>
      <c r="B13" s="3"/>
      <c r="C13" s="10"/>
      <c r="D13" s="10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4"/>
    </row>
    <row r="14" spans="1:28" ht="9.75" customHeight="1" thickBot="1" x14ac:dyDescent="0.35">
      <c r="A14" s="5"/>
      <c r="B14" s="3"/>
      <c r="C14" s="8"/>
      <c r="D14" s="8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4"/>
    </row>
    <row r="15" spans="1:28" s="17" customFormat="1" ht="20.100000000000001" customHeight="1" thickBot="1" x14ac:dyDescent="0.35">
      <c r="A15" s="14"/>
      <c r="B15" s="13"/>
      <c r="C15" s="57" t="s">
        <v>0</v>
      </c>
      <c r="D15" s="58"/>
      <c r="E15" s="59"/>
      <c r="F15" s="60" t="s">
        <v>1</v>
      </c>
      <c r="G15" s="61"/>
      <c r="H15" s="62"/>
      <c r="I15" s="60" t="s">
        <v>2</v>
      </c>
      <c r="J15" s="61"/>
      <c r="K15" s="62"/>
      <c r="L15" s="39"/>
      <c r="M15" s="39"/>
      <c r="N15" s="14"/>
      <c r="O15" s="14"/>
      <c r="P15" s="15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9"/>
    </row>
    <row r="16" spans="1:28" s="17" customFormat="1" ht="20.100000000000001" customHeight="1" thickBot="1" x14ac:dyDescent="0.35">
      <c r="A16" s="14"/>
      <c r="B16" s="13"/>
      <c r="C16" s="60" t="s">
        <v>5</v>
      </c>
      <c r="D16" s="61"/>
      <c r="E16" s="62"/>
      <c r="F16" s="60" t="s">
        <v>44</v>
      </c>
      <c r="G16" s="61"/>
      <c r="H16" s="62"/>
      <c r="I16" s="60" t="s">
        <v>45</v>
      </c>
      <c r="J16" s="61"/>
      <c r="K16" s="62"/>
      <c r="L16" s="39"/>
      <c r="M16" s="39"/>
      <c r="N16" s="14"/>
      <c r="O16" s="14"/>
      <c r="P16" s="15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9"/>
    </row>
    <row r="17" spans="1:28" s="17" customFormat="1" ht="12" x14ac:dyDescent="0.3">
      <c r="A17" s="14"/>
      <c r="B17" s="13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9"/>
    </row>
    <row r="18" spans="1:28" s="17" customFormat="1" ht="12.75" thickBot="1" x14ac:dyDescent="0.35">
      <c r="A18" s="14"/>
      <c r="B18" s="13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9"/>
    </row>
    <row r="19" spans="1:28" s="17" customFormat="1" ht="20.100000000000001" customHeight="1" thickBot="1" x14ac:dyDescent="0.35">
      <c r="A19" s="14"/>
      <c r="B19" s="13"/>
      <c r="C19" s="106"/>
      <c r="D19" s="107"/>
      <c r="E19" s="82" t="s">
        <v>56</v>
      </c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38"/>
      <c r="Q19" s="77" t="s">
        <v>3</v>
      </c>
      <c r="R19" s="78"/>
      <c r="S19" s="77" t="s">
        <v>4</v>
      </c>
      <c r="T19" s="78"/>
      <c r="U19" s="77" t="s">
        <v>6</v>
      </c>
      <c r="V19" s="78"/>
      <c r="W19" s="15"/>
      <c r="X19" s="15"/>
      <c r="Y19" s="15"/>
      <c r="Z19" s="14"/>
      <c r="AA19" s="14"/>
      <c r="AB19" s="19"/>
    </row>
    <row r="20" spans="1:28" s="17" customFormat="1" ht="20.100000000000001" customHeight="1" x14ac:dyDescent="0.3">
      <c r="A20" s="14"/>
      <c r="B20" s="13"/>
      <c r="C20" s="108"/>
      <c r="D20" s="109"/>
      <c r="E20" s="83" t="s">
        <v>35</v>
      </c>
      <c r="F20" s="83"/>
      <c r="G20" s="110" t="s">
        <v>36</v>
      </c>
      <c r="H20" s="111"/>
      <c r="I20" s="84" t="s">
        <v>51</v>
      </c>
      <c r="J20" s="85"/>
      <c r="K20" s="81" t="s">
        <v>37</v>
      </c>
      <c r="L20" s="81"/>
      <c r="M20" s="110" t="s">
        <v>38</v>
      </c>
      <c r="N20" s="111"/>
      <c r="O20" s="81" t="s">
        <v>57</v>
      </c>
      <c r="P20" s="81"/>
      <c r="Q20" s="79"/>
      <c r="R20" s="80"/>
      <c r="S20" s="79"/>
      <c r="T20" s="80"/>
      <c r="U20" s="79"/>
      <c r="V20" s="80"/>
      <c r="W20" s="15"/>
      <c r="X20" s="15"/>
      <c r="Y20" s="15"/>
      <c r="Z20" s="14"/>
      <c r="AA20" s="14"/>
      <c r="AB20" s="19"/>
    </row>
    <row r="21" spans="1:28" s="17" customFormat="1" ht="20.100000000000001" customHeight="1" thickBot="1" x14ac:dyDescent="0.35">
      <c r="A21" s="14"/>
      <c r="B21" s="13"/>
      <c r="C21" s="67" t="s">
        <v>55</v>
      </c>
      <c r="D21" s="68"/>
      <c r="E21" s="71">
        <v>197</v>
      </c>
      <c r="F21" s="71"/>
      <c r="G21" s="73">
        <v>165</v>
      </c>
      <c r="H21" s="74"/>
      <c r="I21" s="75">
        <v>151</v>
      </c>
      <c r="J21" s="76"/>
      <c r="K21" s="72">
        <v>139</v>
      </c>
      <c r="L21" s="72"/>
      <c r="M21" s="73">
        <v>127</v>
      </c>
      <c r="N21" s="74"/>
      <c r="O21" s="71" t="s">
        <v>57</v>
      </c>
      <c r="P21" s="72"/>
      <c r="Q21" s="36"/>
      <c r="R21" s="37"/>
      <c r="S21" s="36"/>
      <c r="T21" s="37"/>
      <c r="U21" s="36"/>
      <c r="V21" s="37"/>
      <c r="W21" s="15"/>
      <c r="X21" s="15"/>
      <c r="Y21" s="15"/>
      <c r="Z21" s="14"/>
      <c r="AA21" s="14"/>
      <c r="AB21" s="19"/>
    </row>
    <row r="22" spans="1:28" s="17" customFormat="1" ht="20.100000000000001" customHeight="1" thickBot="1" x14ac:dyDescent="0.35">
      <c r="A22" s="14"/>
      <c r="B22" s="13"/>
      <c r="C22" s="69" t="s">
        <v>32</v>
      </c>
      <c r="D22" s="70"/>
      <c r="E22" s="69">
        <v>0.1</v>
      </c>
      <c r="F22" s="70"/>
      <c r="G22" s="69">
        <v>5</v>
      </c>
      <c r="H22" s="70"/>
      <c r="I22" s="69" t="s">
        <v>52</v>
      </c>
      <c r="J22" s="70"/>
      <c r="K22" s="69">
        <v>50</v>
      </c>
      <c r="L22" s="70"/>
      <c r="M22" s="69">
        <v>3</v>
      </c>
      <c r="N22" s="70"/>
      <c r="O22" s="69">
        <v>0.1</v>
      </c>
      <c r="P22" s="70"/>
      <c r="Q22" s="69" t="s">
        <v>46</v>
      </c>
      <c r="R22" s="70"/>
      <c r="S22" s="69" t="s">
        <v>30</v>
      </c>
      <c r="T22" s="70"/>
      <c r="U22" s="69" t="s">
        <v>47</v>
      </c>
      <c r="V22" s="70"/>
      <c r="W22" s="15"/>
      <c r="X22" s="15"/>
      <c r="Y22" s="15"/>
      <c r="Z22" s="14"/>
      <c r="AA22" s="14"/>
      <c r="AB22" s="19"/>
    </row>
    <row r="23" spans="1:28" s="17" customFormat="1" ht="20.100000000000001" customHeight="1" thickBot="1" x14ac:dyDescent="0.35">
      <c r="A23" s="14"/>
      <c r="B23" s="13"/>
      <c r="C23" s="60" t="s">
        <v>31</v>
      </c>
      <c r="D23" s="62"/>
      <c r="E23" s="63">
        <v>0</v>
      </c>
      <c r="F23" s="64"/>
      <c r="G23" s="63">
        <v>0.9</v>
      </c>
      <c r="H23" s="64"/>
      <c r="I23" s="63">
        <v>52.3</v>
      </c>
      <c r="J23" s="64"/>
      <c r="K23" s="63">
        <v>44.6</v>
      </c>
      <c r="L23" s="64"/>
      <c r="M23" s="63">
        <v>2.2000000000000002</v>
      </c>
      <c r="N23" s="64"/>
      <c r="O23" s="63">
        <v>0</v>
      </c>
      <c r="P23" s="64"/>
      <c r="Q23" s="65">
        <v>36</v>
      </c>
      <c r="R23" s="66"/>
      <c r="S23" s="65">
        <v>34.700000000000003</v>
      </c>
      <c r="T23" s="66"/>
      <c r="U23" s="65">
        <v>0.89</v>
      </c>
      <c r="V23" s="66"/>
      <c r="W23" s="34"/>
      <c r="X23" s="34"/>
      <c r="Y23" s="34"/>
      <c r="Z23" s="14"/>
      <c r="AA23" s="14"/>
      <c r="AB23" s="19"/>
    </row>
    <row r="24" spans="1:28" s="17" customFormat="1" ht="12" x14ac:dyDescent="0.3">
      <c r="A24" s="14"/>
      <c r="B24" s="13"/>
      <c r="C24" s="92"/>
      <c r="D24" s="92"/>
      <c r="E24" s="92"/>
      <c r="F24" s="34"/>
      <c r="G24" s="92"/>
      <c r="H24" s="92"/>
      <c r="I24" s="92"/>
      <c r="J24" s="92"/>
      <c r="K24" s="92"/>
      <c r="L24" s="34"/>
      <c r="M24" s="92"/>
      <c r="N24" s="92"/>
      <c r="O24" s="92"/>
      <c r="P24" s="34"/>
      <c r="Q24" s="92"/>
      <c r="R24" s="92"/>
      <c r="S24" s="92"/>
      <c r="T24" s="34"/>
      <c r="U24" s="92"/>
      <c r="V24" s="92"/>
      <c r="W24" s="34"/>
      <c r="X24" s="34"/>
      <c r="Y24" s="34"/>
      <c r="Z24" s="34"/>
      <c r="AA24" s="34"/>
      <c r="AB24" s="19"/>
    </row>
    <row r="25" spans="1:28" s="22" customFormat="1" ht="16.5" customHeight="1" thickBot="1" x14ac:dyDescent="0.35">
      <c r="A25" s="20"/>
      <c r="B25" s="13"/>
      <c r="C25" s="97"/>
      <c r="D25" s="97"/>
      <c r="E25" s="97"/>
      <c r="F25" s="35"/>
      <c r="G25" s="97"/>
      <c r="H25" s="97"/>
      <c r="I25" s="97"/>
      <c r="J25" s="97"/>
      <c r="K25" s="97"/>
      <c r="L25" s="35"/>
      <c r="M25" s="97"/>
      <c r="N25" s="97"/>
      <c r="O25" s="97"/>
      <c r="P25" s="35"/>
      <c r="Q25" s="40"/>
      <c r="R25" s="40"/>
      <c r="S25" s="98" t="s">
        <v>34</v>
      </c>
      <c r="T25" s="98"/>
      <c r="U25" s="98"/>
      <c r="V25" s="98"/>
      <c r="W25" s="30"/>
      <c r="X25" s="30"/>
      <c r="Y25" s="30"/>
      <c r="Z25" s="35"/>
      <c r="AA25" s="35"/>
      <c r="AB25" s="21"/>
    </row>
    <row r="26" spans="1:28" s="22" customFormat="1" ht="20.100000000000001" customHeight="1" thickBot="1" x14ac:dyDescent="0.35">
      <c r="A26" s="20"/>
      <c r="B26" s="13"/>
      <c r="C26" s="101" t="s">
        <v>33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5"/>
      <c r="U26" s="39"/>
      <c r="V26" s="39"/>
      <c r="W26" s="15"/>
      <c r="X26" s="15"/>
      <c r="Y26" s="15"/>
      <c r="Z26" s="20"/>
      <c r="AA26" s="20"/>
      <c r="AB26" s="21"/>
    </row>
    <row r="27" spans="1:28" s="22" customFormat="1" ht="20.100000000000001" customHeight="1" thickBot="1" x14ac:dyDescent="0.35">
      <c r="A27" s="20"/>
      <c r="B27" s="13"/>
      <c r="C27" s="23" t="s">
        <v>7</v>
      </c>
      <c r="D27" s="24" t="s">
        <v>8</v>
      </c>
      <c r="E27" s="25" t="s">
        <v>9</v>
      </c>
      <c r="F27" s="24" t="s">
        <v>10</v>
      </c>
      <c r="G27" s="25" t="s">
        <v>11</v>
      </c>
      <c r="H27" s="24" t="s">
        <v>12</v>
      </c>
      <c r="I27" s="25" t="s">
        <v>13</v>
      </c>
      <c r="J27" s="24" t="s">
        <v>14</v>
      </c>
      <c r="K27" s="25" t="s">
        <v>15</v>
      </c>
      <c r="L27" s="24" t="s">
        <v>16</v>
      </c>
      <c r="M27" s="25" t="s">
        <v>17</v>
      </c>
      <c r="N27" s="24" t="s">
        <v>18</v>
      </c>
      <c r="O27" s="25" t="s">
        <v>19</v>
      </c>
      <c r="P27" s="24" t="s">
        <v>20</v>
      </c>
      <c r="Q27" s="25" t="s">
        <v>21</v>
      </c>
      <c r="R27" s="36" t="s">
        <v>22</v>
      </c>
      <c r="S27" s="101" t="s">
        <v>23</v>
      </c>
      <c r="T27" s="62"/>
      <c r="U27" s="93"/>
      <c r="V27" s="94"/>
      <c r="W27" s="15"/>
      <c r="X27" s="15"/>
      <c r="Y27" s="15"/>
      <c r="Z27" s="20"/>
      <c r="AA27" s="20"/>
      <c r="AB27" s="21"/>
    </row>
    <row r="28" spans="1:28" s="22" customFormat="1" ht="51" customHeight="1" thickBot="1" x14ac:dyDescent="0.35">
      <c r="A28" s="20"/>
      <c r="B28" s="13"/>
      <c r="C28" s="26" t="s">
        <v>48</v>
      </c>
      <c r="D28" s="27">
        <v>0.2</v>
      </c>
      <c r="E28" s="28" t="s">
        <v>48</v>
      </c>
      <c r="F28" s="27" t="s">
        <v>48</v>
      </c>
      <c r="G28" s="28">
        <v>1.1000000000000001</v>
      </c>
      <c r="H28" s="27">
        <v>0.1</v>
      </c>
      <c r="I28" s="28" t="s">
        <v>49</v>
      </c>
      <c r="J28" s="27" t="s">
        <v>48</v>
      </c>
      <c r="K28" s="28" t="s">
        <v>48</v>
      </c>
      <c r="L28" s="27" t="s">
        <v>48</v>
      </c>
      <c r="M28" s="28" t="s">
        <v>48</v>
      </c>
      <c r="N28" s="27">
        <v>6</v>
      </c>
      <c r="O28" s="28" t="s">
        <v>48</v>
      </c>
      <c r="P28" s="27" t="s">
        <v>49</v>
      </c>
      <c r="Q28" s="28" t="s">
        <v>48</v>
      </c>
      <c r="R28" s="26">
        <v>8.3000000000000007</v>
      </c>
      <c r="S28" s="102">
        <f>SUM(C28:R28)</f>
        <v>15.700000000000001</v>
      </c>
      <c r="T28" s="103"/>
      <c r="U28" s="95"/>
      <c r="V28" s="96"/>
      <c r="W28" s="29"/>
      <c r="X28" s="29"/>
      <c r="Y28" s="29"/>
      <c r="Z28" s="20"/>
      <c r="AA28" s="20"/>
      <c r="AB28" s="51"/>
    </row>
    <row r="29" spans="1:28" ht="21" customHeight="1" thickBot="1" x14ac:dyDescent="0.35">
      <c r="A29" s="5"/>
      <c r="B29" s="6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49"/>
      <c r="U29" s="49"/>
      <c r="V29" s="49"/>
      <c r="W29" s="49"/>
      <c r="X29" s="49"/>
      <c r="Y29" s="49"/>
      <c r="Z29" s="49"/>
      <c r="AA29" s="49"/>
      <c r="AB29" s="4"/>
    </row>
    <row r="30" spans="1:28" s="31" customFormat="1" ht="90" customHeight="1" thickBot="1" x14ac:dyDescent="0.35">
      <c r="A30" s="50"/>
      <c r="B30" s="89" t="s">
        <v>24</v>
      </c>
      <c r="C30" s="90"/>
      <c r="D30" s="91"/>
      <c r="E30" s="99" t="s">
        <v>43</v>
      </c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89" t="s">
        <v>42</v>
      </c>
      <c r="S30" s="91"/>
      <c r="T30" s="86" t="s">
        <v>50</v>
      </c>
      <c r="U30" s="87"/>
      <c r="V30" s="87"/>
      <c r="W30" s="87"/>
      <c r="X30" s="87"/>
      <c r="Y30" s="87"/>
      <c r="Z30" s="87"/>
      <c r="AA30" s="87"/>
      <c r="AB30" s="88"/>
    </row>
    <row r="31" spans="1:28" s="31" customFormat="1" ht="52.5" customHeight="1" thickBot="1" x14ac:dyDescent="0.35">
      <c r="A31" s="50"/>
      <c r="B31" s="89" t="s">
        <v>41</v>
      </c>
      <c r="C31" s="90"/>
      <c r="D31" s="91"/>
      <c r="E31" s="86" t="s">
        <v>25</v>
      </c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9" t="s">
        <v>26</v>
      </c>
      <c r="S31" s="91"/>
      <c r="T31" s="89"/>
      <c r="U31" s="90"/>
      <c r="V31" s="90"/>
      <c r="W31" s="90"/>
      <c r="X31" s="90"/>
      <c r="Y31" s="90"/>
      <c r="Z31" s="90"/>
      <c r="AA31" s="90"/>
      <c r="AB31" s="91"/>
    </row>
  </sheetData>
  <mergeCells count="67">
    <mergeCell ref="E31:Q31"/>
    <mergeCell ref="R30:S30"/>
    <mergeCell ref="R31:S31"/>
    <mergeCell ref="I16:K16"/>
    <mergeCell ref="S27:T27"/>
    <mergeCell ref="S28:T28"/>
    <mergeCell ref="C26:T26"/>
    <mergeCell ref="S25:T25"/>
    <mergeCell ref="S22:T22"/>
    <mergeCell ref="Q23:R23"/>
    <mergeCell ref="C19:D20"/>
    <mergeCell ref="C23:D23"/>
    <mergeCell ref="C22:D22"/>
    <mergeCell ref="M20:N20"/>
    <mergeCell ref="K20:L20"/>
    <mergeCell ref="G20:H20"/>
    <mergeCell ref="T30:AB30"/>
    <mergeCell ref="T31:AB31"/>
    <mergeCell ref="C24:E24"/>
    <mergeCell ref="G24:K24"/>
    <mergeCell ref="M24:O24"/>
    <mergeCell ref="Q24:S24"/>
    <mergeCell ref="U24:V24"/>
    <mergeCell ref="U27:V27"/>
    <mergeCell ref="U28:V28"/>
    <mergeCell ref="C25:E25"/>
    <mergeCell ref="G25:K25"/>
    <mergeCell ref="M25:O25"/>
    <mergeCell ref="U25:V25"/>
    <mergeCell ref="B31:D31"/>
    <mergeCell ref="B30:D30"/>
    <mergeCell ref="E30:Q30"/>
    <mergeCell ref="U22:V22"/>
    <mergeCell ref="U23:V23"/>
    <mergeCell ref="U19:V20"/>
    <mergeCell ref="O20:P20"/>
    <mergeCell ref="S19:T20"/>
    <mergeCell ref="Q19:R20"/>
    <mergeCell ref="E19:O19"/>
    <mergeCell ref="K22:L22"/>
    <mergeCell ref="G22:H22"/>
    <mergeCell ref="E22:F22"/>
    <mergeCell ref="M23:N23"/>
    <mergeCell ref="K23:L23"/>
    <mergeCell ref="G23:H23"/>
    <mergeCell ref="E23:F23"/>
    <mergeCell ref="E20:F20"/>
    <mergeCell ref="I20:J20"/>
    <mergeCell ref="O23:P23"/>
    <mergeCell ref="S23:T23"/>
    <mergeCell ref="C21:D21"/>
    <mergeCell ref="Q22:R22"/>
    <mergeCell ref="O21:P21"/>
    <mergeCell ref="M21:N21"/>
    <mergeCell ref="K21:L21"/>
    <mergeCell ref="G21:H21"/>
    <mergeCell ref="E21:F21"/>
    <mergeCell ref="O22:P22"/>
    <mergeCell ref="M22:N22"/>
    <mergeCell ref="I22:J22"/>
    <mergeCell ref="I23:J23"/>
    <mergeCell ref="I21:J21"/>
    <mergeCell ref="C15:E15"/>
    <mergeCell ref="C16:E16"/>
    <mergeCell ref="F16:H16"/>
    <mergeCell ref="F15:H15"/>
    <mergeCell ref="I15:K15"/>
  </mergeCells>
  <phoneticPr fontId="1" type="noConversion"/>
  <pageMargins left="0.23622047244094491" right="0.23622047244094491" top="0.35433070866141736" bottom="0.35433070866141736" header="0.31496062992125984" footer="0.31496062992125984"/>
  <pageSetup paperSize="9" scale="84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IJMAIL</dc:creator>
  <cp:lastModifiedBy>박병찬(일진 다이아몬드/생산기획팀/과장)</cp:lastModifiedBy>
  <cp:lastPrinted>2023-06-22T02:00:11Z</cp:lastPrinted>
  <dcterms:created xsi:type="dcterms:W3CDTF">2022-05-12T01:27:34Z</dcterms:created>
  <dcterms:modified xsi:type="dcterms:W3CDTF">2025-10-22T23:47:50Z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0NTk5IiwibG9nVGltZSI6IjIwMjUtMTAtMjJUMjM6NDc6NDdaIiwicElEIjoxLCJwcm9jZXNzSWQiOjE0NTMyLCJwcm9jZXNzTmFtZSI6IkZTTkhlYWRlckNvbnZlcnRlci5leGUiLCJ0cmFjZUlkIjoiNjUyNjIyMkVEOTgzNEJEMjhFNjJBOTg5NTg4MjhBOUYiLCJ1c2VyQ29kZSI6IjM1MDY2MiJ9LCJub2RlMiI6eyJkc2QiOiIwMTAwMDAwMDAwMDA0NTk5IiwibG9nVGltZSI6IjIwMjUtMTAtMjJUMjM6NDc6NDdaIiwicElEIjoxLCJwcm9jZXNzSWQiOjE0NTMyLCJwcm9jZXNzTmFtZSI6IkZTTkhlYWRlckNvbnZlcnRlci5leGUiLCJ0cmFjZUlkIjoiNjUyNjIyMkVEOTgzNEJEMjhFNjJBOTg5NTg4MjhBOUYiLCJ1c2VyQ29kZSI6IjM1MDY2MiJ9LCJub2RlMyI6eyJkc2QiOiIwMTAwMDAwMDAwMDA0NTk5IiwibG9nVGltZSI6IjIwMjUtMTAtMjJUMjM6NDc6NDdaIiwicElEIjoxLCJwcm9jZXNzSWQiOjE0NTMyLCJwcm9jZXNzTmFtZSI6IkZTTkhlYWRlckNvbnZlcnRlci5leGUiLCJ0cmFjZUlkIjoiNjUyNjIyMkVEOTgzNEJEMjhFNjJBOTg5NTg4MjhBOUYiLCJ1c2VyQ29kZSI6IjM1MDY2MiJ9LCJub2RlNCI6eyJkc2QiOiIwMTAwMDAwMDAwMDA0NTk5IiwibG9nVGltZSI6IjIwMjUtMTAtMjJUMjM6NDc6NTBaIiwicElEIjoxLCJwcm9jZXNzSWQiOjIzNDU2LCJwcm9jZXNzTmFtZSI6IkVYQ0VMLkVYRSIsInRyYWNlSWQiOiI5QUJDQjk2MTU0NzQ0MzdDOUFCRjNCMjVCMzFERUQ2RCIsInVzZXJDb2RlIjoiMzUwNjYyIn0sIm5vZGU1Ijp7ImRzZCI6IjAwMDAwMDAwMDAwMDAwMDAiLCJsb2dUaW1lIjoiMjAyNS0xMC0yM1QwMTozNzo0MVoiLCJwSUQiIDogMjA0OCwicHJvY2Vzc0lkIjoxNjM1NiwicHJvY2Vzc05hbWUiOiJqYXZhLmV4ZSIsInRyYWNlSWQiOiJENjI4RTZEQjJBMzBENDJENzY0MzY3QkVDNUJEMERCNSIsInVzZXJDb2RlIjoiIn0sIm5vZGVDb3VudCI6Mywicm9vdFRyYWNlSWQiOiI2NTI2MjIyRUQ5ODM0QkQyOEU2MkE5ODk1ODgyOEE5RiJ9</vt:lpwstr>
  </property>
</Properties>
</file>